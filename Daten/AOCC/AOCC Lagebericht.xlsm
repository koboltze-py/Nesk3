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drkkoeln-my.sharepoint.com/personal/erste-hilfe-station-flughafen_drk-koeln_de/Documents/!Gemeinsam.26/Nesk/Nesk3/Daten/AOCC/"/>
    </mc:Choice>
  </mc:AlternateContent>
  <xr:revisionPtr revIDLastSave="882" documentId="8_{8A70482B-DFFD-406E-A400-49DDA3B64906}" xr6:coauthVersionLast="47" xr6:coauthVersionMax="47" xr10:uidLastSave="{2447FA6E-1469-4C76-BF23-9ABF504D0170}"/>
  <bookViews>
    <workbookView xWindow="38290" yWindow="-110" windowWidth="38620" windowHeight="21100" tabRatio="635" firstSheet="2" activeTab="2" xr2:uid="{00000000-000D-0000-FFFF-FFFF00000000}"/>
  </bookViews>
  <sheets>
    <sheet name="Reaktionsmuster_Sicherung" sheetId="24" state="hidden" r:id="rId1"/>
    <sheet name="Irreg_Sicherung" sheetId="25" state="hidden" r:id="rId2"/>
    <sheet name="Lagebericht-Dokumentation" sheetId="26" r:id="rId3"/>
    <sheet name="Dropdown-Listen" sheetId="22" r:id="rId4"/>
    <sheet name="Hilfstabelle" sheetId="18" state="hidden" r:id="rId5"/>
  </sheets>
  <definedNames>
    <definedName name="_xlnm._FilterDatabase" localSheetId="2" hidden="1">'Lagebericht-Dokumentation'!$N$19:$P$20</definedName>
    <definedName name="_xleta.TODAY" hidden="1" xlm="1">#NAME?</definedName>
    <definedName name="_xlnm.Print_Area" localSheetId="2">'Lagebericht-Dokumentation'!$A$1:$BJ$34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32" i="26" l="1"/>
  <c r="A7" i="18"/>
  <c r="A6" i="18"/>
  <c r="A5" i="18"/>
  <c r="A4" i="18"/>
  <c r="A3" i="18"/>
  <c r="A2" i="18"/>
  <c r="B2" i="18" l="1"/>
  <c r="B5" i="18"/>
  <c r="B3" i="18"/>
  <c r="B7" i="18"/>
  <c r="B6" i="18"/>
  <c r="B4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Benjamin Heyse</author>
  </authors>
  <commentList>
    <comment ref="F6" authorId="0" shapeId="0" xr:uid="{00000000-0006-0000-0200-000001000000}">
      <text>
        <r>
          <rPr>
            <sz val="9"/>
            <color indexed="81"/>
            <rFont val="Segoe UI"/>
            <family val="2"/>
          </rPr>
          <t>Erfasser können im Register "Dropdown-Listen" hinzugefügt werden</t>
        </r>
      </text>
    </comment>
    <comment ref="AC6" authorId="0" shapeId="0" xr:uid="{00000000-0006-0000-0200-000002000000}">
      <text>
        <r>
          <rPr>
            <sz val="9"/>
            <color indexed="81"/>
            <rFont val="Segoe UI"/>
            <family val="2"/>
          </rPr>
          <t>Bitte das Bezugsdatum für diesen Lagebericht eintragen!</t>
        </r>
      </text>
    </comment>
    <comment ref="AZ6" authorId="0" shapeId="0" xr:uid="{00000000-0006-0000-0200-000003000000}">
      <text>
        <r>
          <rPr>
            <sz val="9"/>
            <color indexed="81"/>
            <rFont val="Segoe UI"/>
            <family val="2"/>
          </rPr>
          <t>Schichten können im Register "Dropdown-Listen" angepasst werden</t>
        </r>
      </text>
    </comment>
  </commentList>
</comments>
</file>

<file path=xl/sharedStrings.xml><?xml version="1.0" encoding="utf-8"?>
<sst xmlns="http://schemas.openxmlformats.org/spreadsheetml/2006/main" count="80" uniqueCount="63">
  <si>
    <t>Ticket ID</t>
  </si>
  <si>
    <t>Ticketstart</t>
  </si>
  <si>
    <t>Erfasser</t>
  </si>
  <si>
    <t>Fachbereich</t>
  </si>
  <si>
    <t>Fallnummer</t>
  </si>
  <si>
    <t>Bezugsdatum</t>
  </si>
  <si>
    <t>Fehler ID</t>
  </si>
  <si>
    <t>Fehler</t>
  </si>
  <si>
    <t>Reaktionsmuster ID</t>
  </si>
  <si>
    <t>Reaktionsmuster</t>
  </si>
  <si>
    <t>Kommentar</t>
  </si>
  <si>
    <t>Erfasst</t>
  </si>
  <si>
    <t>Irreg ID</t>
  </si>
  <si>
    <t>Irreg</t>
  </si>
  <si>
    <t>Datum:</t>
  </si>
  <si>
    <t>Schicht:</t>
  </si>
  <si>
    <t>Information</t>
  </si>
  <si>
    <t>Status</t>
  </si>
  <si>
    <t>Informationsdetails / Erläuterungen zum Status</t>
  </si>
  <si>
    <t>grün</t>
  </si>
  <si>
    <t>Prioritäten</t>
  </si>
  <si>
    <t>Personalsituation</t>
  </si>
  <si>
    <t>Equipmentsituation</t>
  </si>
  <si>
    <t>Systemverfügbarkeit</t>
  </si>
  <si>
    <t>grün: unkritisch</t>
  </si>
  <si>
    <t>gelb: Risiko</t>
  </si>
  <si>
    <t>rot: Problem</t>
  </si>
  <si>
    <t>Schichten</t>
  </si>
  <si>
    <t>Vorname Nachname</t>
  </si>
  <si>
    <t>Frühschicht</t>
  </si>
  <si>
    <t>Spätschicht</t>
  </si>
  <si>
    <t>Nachtschicht</t>
  </si>
  <si>
    <t>Abweichungen Plan/Ist; Art und Umfang der Abweichung (insbes. Unterdeckung); Zeitpunkt bzw. Dauer der Abweichungen; Auswirkung auf Airport-Operation etc.</t>
  </si>
  <si>
    <t>Besonderheiten</t>
  </si>
  <si>
    <t>z.B. hohe Anzahl PRM auf einem Flugereignis; relevante Fluginformationen; Zeitpunkt bzw. Dauer von Besonderheiten; Auswirkung auf Airport-Operation etc.</t>
  </si>
  <si>
    <t>Ausfälle, Engpässe und Störungen; Art und Umfang der Abweichung; Zeitpunkt bzw. Dauer der Abweichungen; Auswirkung auf Airport-Operation etc.</t>
  </si>
  <si>
    <t>Romeo (WCHR)</t>
  </si>
  <si>
    <t>Charlie (WCHC)</t>
  </si>
  <si>
    <t>Sierra (WCHS)</t>
  </si>
  <si>
    <t>weitere (BLND, DEAF, DPNA)</t>
  </si>
  <si>
    <t>GESAMT</t>
  </si>
  <si>
    <t>Lagebericht DRK</t>
  </si>
  <si>
    <t>Per Mail an:</t>
  </si>
  <si>
    <t>aocc@cgn.de</t>
  </si>
  <si>
    <t>Angemeldete PRM am heutigen Tag</t>
  </si>
  <si>
    <t>Lars Peters</t>
  </si>
  <si>
    <t>Stefan Granrath</t>
  </si>
  <si>
    <t>Tag / Nacht komplett</t>
  </si>
  <si>
    <t>Martin Lytek</t>
  </si>
  <si>
    <t>Benjamin Bauschke</t>
  </si>
  <si>
    <t>Thomas Groß</t>
  </si>
  <si>
    <t>Senat Idic</t>
  </si>
  <si>
    <t>Marcel Kurthen</t>
  </si>
  <si>
    <t>Pascal Kieckhöfel</t>
  </si>
  <si>
    <t xml:space="preserve">Sina Blei </t>
  </si>
  <si>
    <t>Moritz Thelen</t>
  </si>
  <si>
    <t>Einschätzung der Gesamtsituation</t>
  </si>
  <si>
    <t>Gesamtlagebewertung</t>
  </si>
  <si>
    <t>bei Bedarf: einzelne hochprioritäre Flugereignisse, zur Fokussierung von Monitoring und Eingriffen durch die Operations Controller im AOCC; relevante Fluginformationen etc.</t>
  </si>
  <si>
    <t>Wartungen, Updates, Release-Wechsel etc.an IT-Systemen; betroffener Prozessbereich; Zeitpunkt bzw. Dauer der Abweichungen; Auswirkung auf Airport-Operation etc.</t>
  </si>
  <si>
    <t>Elvedin Kamencic</t>
  </si>
  <si>
    <t>Franziska Dyckx</t>
  </si>
  <si>
    <t xml:space="preserve">4 von 5 Hubwagen.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</si>
</sst>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18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20"/>
      <color theme="1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Arial"/>
      <family val="2"/>
    </font>
    <font>
      <i/>
      <sz val="8"/>
      <color theme="1"/>
      <name val="Arial"/>
      <family val="2"/>
    </font>
    <font>
      <sz val="24"/>
      <color theme="1"/>
      <name val="Arial"/>
      <family val="2"/>
    </font>
    <font>
      <sz val="11"/>
      <color rgb="FF9C6500"/>
      <name val="Calibri"/>
      <family val="2"/>
      <scheme val="minor"/>
    </font>
    <font>
      <b/>
      <sz val="12"/>
      <color rgb="FF9C65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</fills>
  <borders count="1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3">
    <xf numFmtId="0" fontId="0" fillId="0" borderId="0"/>
    <xf numFmtId="0" fontId="7" fillId="0" borderId="0"/>
    <xf numFmtId="0" fontId="16" fillId="8" borderId="0" applyNumberFormat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22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  <xf numFmtId="0" fontId="0" fillId="4" borderId="4" xfId="0" applyFill="1" applyBorder="1"/>
    <xf numFmtId="0" fontId="3" fillId="2" borderId="0" xfId="0" applyFont="1" applyFill="1"/>
    <xf numFmtId="0" fontId="6" fillId="5" borderId="2" xfId="0" applyFont="1" applyFill="1" applyBorder="1" applyAlignment="1">
      <alignment horizontal="center" vertical="top" wrapText="1"/>
    </xf>
    <xf numFmtId="22" fontId="6" fillId="5" borderId="2" xfId="0" applyNumberFormat="1" applyFont="1" applyFill="1" applyBorder="1" applyAlignment="1">
      <alignment horizontal="center" vertical="top" wrapText="1"/>
    </xf>
    <xf numFmtId="14" fontId="6" fillId="5" borderId="2" xfId="0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6" fillId="2" borderId="2" xfId="0" applyFont="1" applyFill="1" applyBorder="1" applyAlignment="1">
      <alignment horizontal="center" vertical="top" wrapText="1"/>
    </xf>
    <xf numFmtId="22" fontId="6" fillId="2" borderId="2" xfId="0" applyNumberFormat="1" applyFont="1" applyFill="1" applyBorder="1" applyAlignment="1">
      <alignment horizontal="center" vertical="top" wrapText="1"/>
    </xf>
    <xf numFmtId="14" fontId="6" fillId="2" borderId="2" xfId="0" applyNumberFormat="1" applyFont="1" applyFill="1" applyBorder="1" applyAlignment="1">
      <alignment horizontal="center" vertical="top" wrapText="1"/>
    </xf>
    <xf numFmtId="0" fontId="4" fillId="0" borderId="0" xfId="0" applyFont="1"/>
    <xf numFmtId="0" fontId="0" fillId="7" borderId="0" xfId="0" applyFill="1" applyProtection="1">
      <protection locked="0"/>
    </xf>
    <xf numFmtId="0" fontId="2" fillId="6" borderId="0" xfId="0" applyFont="1" applyFill="1" applyAlignment="1">
      <alignment vertical="top" wrapText="1"/>
    </xf>
    <xf numFmtId="0" fontId="0" fillId="7" borderId="0" xfId="0" applyFill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0" fillId="0" borderId="1" xfId="0" applyFont="1" applyBorder="1"/>
    <xf numFmtId="0" fontId="10" fillId="0" borderId="0" xfId="0" applyFont="1" applyAlignment="1">
      <alignment horizontal="right"/>
    </xf>
    <xf numFmtId="0" fontId="12" fillId="0" borderId="0" xfId="0" applyFont="1"/>
    <xf numFmtId="0" fontId="10" fillId="0" borderId="0" xfId="0" applyFont="1" applyAlignment="1">
      <alignment vertical="center"/>
    </xf>
    <xf numFmtId="0" fontId="9" fillId="0" borderId="0" xfId="0" applyFont="1" applyAlignment="1">
      <alignment horizontal="center" wrapText="1"/>
    </xf>
    <xf numFmtId="0" fontId="10" fillId="0" borderId="0" xfId="0" applyFont="1" applyAlignment="1">
      <alignment wrapText="1"/>
    </xf>
    <xf numFmtId="0" fontId="13" fillId="0" borderId="14" xfId="0" applyFont="1" applyBorder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3" fillId="0" borderId="3" xfId="0" applyFont="1" applyBorder="1" applyAlignment="1">
      <alignment vertical="center" wrapText="1"/>
    </xf>
    <xf numFmtId="0" fontId="10" fillId="0" borderId="0" xfId="0" applyFont="1" applyAlignment="1">
      <alignment horizontal="left"/>
    </xf>
    <xf numFmtId="164" fontId="10" fillId="3" borderId="0" xfId="0" applyNumberFormat="1" applyFont="1" applyFill="1"/>
    <xf numFmtId="0" fontId="10" fillId="0" borderId="0" xfId="0" applyFont="1" applyAlignment="1">
      <alignment horizontal="left" indent="1"/>
    </xf>
    <xf numFmtId="0" fontId="8" fillId="0" borderId="0" xfId="0" applyFont="1"/>
    <xf numFmtId="0" fontId="15" fillId="0" borderId="6" xfId="0" applyFont="1" applyBorder="1" applyAlignment="1" applyProtection="1">
      <alignment horizontal="center" vertical="top" wrapText="1"/>
      <protection locked="0"/>
    </xf>
    <xf numFmtId="0" fontId="15" fillId="0" borderId="7" xfId="0" applyFont="1" applyBorder="1" applyAlignment="1" applyProtection="1">
      <alignment horizontal="center" vertical="top" wrapText="1"/>
      <protection locked="0"/>
    </xf>
    <xf numFmtId="0" fontId="13" fillId="0" borderId="8" xfId="0" applyFont="1" applyBorder="1" applyAlignment="1">
      <alignment horizontal="left" vertical="center" wrapText="1" indent="1"/>
    </xf>
    <xf numFmtId="0" fontId="13" fillId="0" borderId="9" xfId="0" applyFont="1" applyBorder="1" applyAlignment="1">
      <alignment horizontal="left" vertical="center" wrapText="1" indent="1"/>
    </xf>
    <xf numFmtId="0" fontId="13" fillId="0" borderId="10" xfId="0" applyFont="1" applyBorder="1" applyAlignment="1">
      <alignment horizontal="left" vertical="center" wrapText="1" indent="1"/>
    </xf>
    <xf numFmtId="0" fontId="13" fillId="0" borderId="11" xfId="0" applyFont="1" applyBorder="1" applyAlignment="1">
      <alignment horizontal="left" vertical="center" wrapText="1" indent="1"/>
    </xf>
    <xf numFmtId="0" fontId="13" fillId="0" borderId="12" xfId="0" applyFont="1" applyBorder="1" applyAlignment="1">
      <alignment horizontal="left" vertical="center" wrapText="1" indent="1"/>
    </xf>
    <xf numFmtId="0" fontId="13" fillId="0" borderId="13" xfId="0" applyFont="1" applyBorder="1" applyAlignment="1">
      <alignment horizontal="left" vertical="center" wrapText="1" indent="1"/>
    </xf>
    <xf numFmtId="0" fontId="13" fillId="0" borderId="8" xfId="0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center" vertical="center" wrapText="1"/>
      <protection locked="0"/>
    </xf>
    <xf numFmtId="0" fontId="13" fillId="0" borderId="10" xfId="0" applyFont="1" applyBorder="1" applyAlignment="1" applyProtection="1">
      <alignment horizontal="center" vertical="center" wrapText="1"/>
      <protection locked="0"/>
    </xf>
    <xf numFmtId="0" fontId="13" fillId="0" borderId="11" xfId="0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13" fillId="0" borderId="13" xfId="0" applyFont="1" applyBorder="1" applyAlignment="1" applyProtection="1">
      <alignment horizontal="center" vertical="center" wrapText="1"/>
      <protection locked="0"/>
    </xf>
    <xf numFmtId="0" fontId="14" fillId="0" borderId="12" xfId="0" applyFont="1" applyBorder="1" applyAlignment="1">
      <alignment horizontal="center" wrapText="1"/>
    </xf>
    <xf numFmtId="0" fontId="15" fillId="0" borderId="5" xfId="0" applyFont="1" applyBorder="1" applyAlignment="1" applyProtection="1">
      <alignment horizontal="center" vertical="center" wrapText="1"/>
      <protection locked="0"/>
    </xf>
    <xf numFmtId="0" fontId="15" fillId="0" borderId="6" xfId="0" applyFont="1" applyBorder="1" applyAlignment="1" applyProtection="1">
      <alignment horizontal="center" vertical="center" wrapText="1"/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3" borderId="6" xfId="0" applyFont="1" applyFill="1" applyBorder="1" applyAlignment="1" applyProtection="1">
      <alignment horizontal="center"/>
      <protection locked="0"/>
    </xf>
    <xf numFmtId="0" fontId="10" fillId="3" borderId="7" xfId="0" applyFont="1" applyFill="1" applyBorder="1" applyAlignment="1" applyProtection="1">
      <alignment horizontal="center"/>
      <protection locked="0"/>
    </xf>
    <xf numFmtId="14" fontId="10" fillId="3" borderId="5" xfId="0" applyNumberFormat="1" applyFont="1" applyFill="1" applyBorder="1" applyAlignment="1" applyProtection="1">
      <alignment horizontal="center"/>
      <protection locked="0"/>
    </xf>
    <xf numFmtId="14" fontId="10" fillId="3" borderId="6" xfId="0" applyNumberFormat="1" applyFont="1" applyFill="1" applyBorder="1" applyAlignment="1" applyProtection="1">
      <alignment horizontal="center"/>
      <protection locked="0"/>
    </xf>
    <xf numFmtId="14" fontId="10" fillId="3" borderId="7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center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6" xfId="0" applyFont="1" applyBorder="1" applyAlignment="1" applyProtection="1">
      <alignment horizontal="left" vertical="top" wrapText="1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14" fillId="0" borderId="12" xfId="0" applyFont="1" applyBorder="1" applyAlignment="1">
      <alignment horizontal="left" wrapText="1"/>
    </xf>
    <xf numFmtId="0" fontId="17" fillId="8" borderId="8" xfId="2" applyFont="1" applyBorder="1" applyAlignment="1" applyProtection="1">
      <alignment horizontal="center" vertical="center" wrapText="1"/>
      <protection locked="0"/>
    </xf>
    <xf numFmtId="0" fontId="17" fillId="8" borderId="9" xfId="2" applyFont="1" applyBorder="1" applyAlignment="1" applyProtection="1">
      <alignment horizontal="center" vertical="center" wrapText="1"/>
      <protection locked="0"/>
    </xf>
    <xf numFmtId="0" fontId="17" fillId="8" borderId="10" xfId="2" applyFont="1" applyBorder="1" applyAlignment="1" applyProtection="1">
      <alignment horizontal="center" vertical="center" wrapText="1"/>
      <protection locked="0"/>
    </xf>
    <xf numFmtId="0" fontId="17" fillId="8" borderId="11" xfId="2" applyFont="1" applyBorder="1" applyAlignment="1" applyProtection="1">
      <alignment horizontal="center" vertical="center" wrapText="1"/>
      <protection locked="0"/>
    </xf>
    <xf numFmtId="0" fontId="17" fillId="8" borderId="12" xfId="2" applyFont="1" applyBorder="1" applyAlignment="1" applyProtection="1">
      <alignment horizontal="center" vertical="center" wrapText="1"/>
      <protection locked="0"/>
    </xf>
    <xf numFmtId="0" fontId="17" fillId="8" borderId="13" xfId="2" applyFont="1" applyBorder="1" applyAlignment="1" applyProtection="1">
      <alignment horizontal="center" vertical="center" wrapText="1"/>
      <protection locked="0"/>
    </xf>
  </cellXfs>
  <cellStyles count="3">
    <cellStyle name="Neutral" xfId="2" builtinId="28"/>
    <cellStyle name="Standard" xfId="0" builtinId="0"/>
    <cellStyle name="Standard 2" xfId="1" xr:uid="{00000000-0005-0000-0000-000002000000}"/>
  </cellStyles>
  <dxfs count="36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6"/>
      </font>
    </dxf>
    <dxf>
      <font>
        <b/>
        <i val="0"/>
        <strike val="0"/>
        <color theme="5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9707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54</xdr:col>
      <xdr:colOff>1021</xdr:colOff>
      <xdr:row>1</xdr:row>
      <xdr:rowOff>32465</xdr:rowOff>
    </xdr:from>
    <xdr:to>
      <xdr:col>60</xdr:col>
      <xdr:colOff>177072</xdr:colOff>
      <xdr:row>3</xdr:row>
      <xdr:rowOff>0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A0E210F2-8867-4082-8922-472AC1D0A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0288021" y="118190"/>
          <a:ext cx="1319051" cy="49141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171450</xdr:colOff>
          <xdr:row>35</xdr:row>
          <xdr:rowOff>0</xdr:rowOff>
        </xdr:from>
        <xdr:to>
          <xdr:col>46</xdr:col>
          <xdr:colOff>152400</xdr:colOff>
          <xdr:row>38</xdr:row>
          <xdr:rowOff>50800</xdr:rowOff>
        </xdr:to>
        <xdr:sp macro="" textlink="">
          <xdr:nvSpPr>
            <xdr:cNvPr id="3080" name="Abschicken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theme="3" tint="0.59999389629810485"/>
    <pageSetUpPr fitToPage="1"/>
  </sheetPr>
  <dimension ref="A1:K1"/>
  <sheetViews>
    <sheetView topLeftCell="B1" zoomScaleNormal="100" workbookViewId="0">
      <selection activeCell="B3" sqref="B3"/>
    </sheetView>
  </sheetViews>
  <sheetFormatPr baseColWidth="10" defaultColWidth="11.453125" defaultRowHeight="14.5" x14ac:dyDescent="0.35"/>
  <cols>
    <col min="1" max="1" width="15.7265625" style="10" customWidth="1"/>
    <col min="2" max="2" width="15.7265625" style="3" customWidth="1"/>
    <col min="3" max="5" width="15.7265625" style="2" customWidth="1"/>
    <col min="6" max="6" width="15.7265625" style="4" customWidth="1"/>
    <col min="7" max="7" width="15.7265625" style="10" customWidth="1"/>
    <col min="8" max="8" width="35.7265625" style="2" customWidth="1"/>
    <col min="9" max="9" width="15.7265625" style="2" customWidth="1"/>
    <col min="10" max="10" width="35.7265625" style="2" customWidth="1"/>
    <col min="11" max="11" width="80.7265625" style="2" customWidth="1"/>
  </cols>
  <sheetData>
    <row r="1" spans="1:11" s="14" customFormat="1" ht="34.5" customHeight="1" x14ac:dyDescent="0.35">
      <c r="A1" s="11" t="s">
        <v>0</v>
      </c>
      <c r="B1" s="12" t="s">
        <v>1</v>
      </c>
      <c r="C1" s="11" t="s">
        <v>2</v>
      </c>
      <c r="D1" s="11" t="s">
        <v>3</v>
      </c>
      <c r="E1" s="11" t="s">
        <v>4</v>
      </c>
      <c r="F1" s="13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</row>
  </sheetData>
  <pageMargins left="0.78740157480314965" right="0.78740157480314965" top="0.98425196850393704" bottom="0.98425196850393704" header="0.51181102362204722" footer="0.51181102362204722"/>
  <pageSetup paperSize="9" scale="46" orientation="landscape" verticalDpi="0" r:id="rId1"/>
  <headerFooter alignWithMargins="0">
    <oddHeader>&amp;L&amp;F&amp;R&amp;A</oddHeader>
    <oddFooter>&amp;L&amp;D&amp;CSeite &amp;P / &amp;N&amp;R(c) Visality Consulting GmbH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5">
    <tabColor theme="9" tint="0.59999389629810485"/>
    <pageSetUpPr fitToPage="1"/>
  </sheetPr>
  <dimension ref="A1:I1"/>
  <sheetViews>
    <sheetView zoomScaleNormal="100" workbookViewId="0">
      <selection activeCell="A4" sqref="A4"/>
    </sheetView>
  </sheetViews>
  <sheetFormatPr baseColWidth="10" defaultColWidth="11.453125" defaultRowHeight="14.5" x14ac:dyDescent="0.35"/>
  <cols>
    <col min="1" max="1" width="15.7265625" style="10" customWidth="1"/>
    <col min="2" max="2" width="15.7265625" style="3" customWidth="1"/>
    <col min="3" max="5" width="15.7265625" style="2" customWidth="1"/>
    <col min="6" max="6" width="15.7265625" style="4" customWidth="1"/>
    <col min="7" max="7" width="15.7265625" style="10" customWidth="1"/>
    <col min="8" max="8" width="35.7265625" style="2" customWidth="1"/>
    <col min="9" max="9" width="80.7265625" style="2" customWidth="1"/>
  </cols>
  <sheetData>
    <row r="1" spans="1:9" s="1" customFormat="1" ht="30.75" customHeight="1" x14ac:dyDescent="0.5">
      <c r="A1" s="7" t="s">
        <v>0</v>
      </c>
      <c r="B1" s="8" t="s">
        <v>11</v>
      </c>
      <c r="C1" s="7" t="s">
        <v>2</v>
      </c>
      <c r="D1" s="7" t="s">
        <v>3</v>
      </c>
      <c r="E1" s="7" t="s">
        <v>4</v>
      </c>
      <c r="F1" s="9" t="s">
        <v>5</v>
      </c>
      <c r="G1" s="7" t="s">
        <v>12</v>
      </c>
      <c r="H1" s="7" t="s">
        <v>13</v>
      </c>
      <c r="I1" s="7" t="s">
        <v>10</v>
      </c>
    </row>
  </sheetData>
  <pageMargins left="0.78740157480314965" right="0.78740157480314965" top="0.98425196850393704" bottom="0.98425196850393704" header="0.51181102362204722" footer="0.51181102362204722"/>
  <pageSetup paperSize="9" scale="56" orientation="landscape" verticalDpi="0" r:id="rId1"/>
  <headerFooter alignWithMargins="0">
    <oddHeader>&amp;L&amp;F&amp;R&amp;A</oddHeader>
    <oddFooter>&amp;L&amp;D&amp;CSeite &amp;P / &amp;N&amp;R(c) Visality Consulting GmbH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>
    <tabColor theme="3"/>
    <pageSetUpPr fitToPage="1"/>
  </sheetPr>
  <dimension ref="A1:BL37"/>
  <sheetViews>
    <sheetView tabSelected="1" zoomScale="115" zoomScaleNormal="115" zoomScaleSheetLayoutView="100" workbookViewId="0">
      <selection activeCell="BB37" sqref="BB37"/>
    </sheetView>
  </sheetViews>
  <sheetFormatPr baseColWidth="10" defaultColWidth="11.453125" defaultRowHeight="14" x14ac:dyDescent="0.3"/>
  <cols>
    <col min="1" max="63" width="2.81640625" style="19" customWidth="1"/>
    <col min="64" max="67" width="11.453125" style="19"/>
    <col min="68" max="68" width="12" style="19" bestFit="1" customWidth="1"/>
    <col min="69" max="16384" width="11.453125" style="19"/>
  </cols>
  <sheetData>
    <row r="1" spans="1:64" ht="7.15" customHeight="1" x14ac:dyDescent="0.3">
      <c r="A1" s="18"/>
      <c r="B1" s="18"/>
    </row>
    <row r="2" spans="1:64" ht="25" x14ac:dyDescent="0.5">
      <c r="A2" s="18"/>
      <c r="B2" s="20" t="s">
        <v>41</v>
      </c>
    </row>
    <row r="3" spans="1:64" ht="14.5" x14ac:dyDescent="0.35">
      <c r="B3" t="s">
        <v>42</v>
      </c>
      <c r="I3" t="s">
        <v>43</v>
      </c>
    </row>
    <row r="4" spans="1:64" ht="7.15" customHeight="1" thickBot="1" x14ac:dyDescent="0.35"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</row>
    <row r="5" spans="1:64" ht="7.15" customHeight="1" thickTop="1" x14ac:dyDescent="0.3"/>
    <row r="6" spans="1:64" x14ac:dyDescent="0.3">
      <c r="E6" s="22"/>
      <c r="F6" s="51" t="s">
        <v>50</v>
      </c>
      <c r="G6" s="52"/>
      <c r="H6" s="52"/>
      <c r="I6" s="52"/>
      <c r="J6" s="52"/>
      <c r="K6" s="52"/>
      <c r="L6" s="52"/>
      <c r="M6" s="52"/>
      <c r="N6" s="53"/>
      <c r="AB6" s="22" t="s">
        <v>14</v>
      </c>
      <c r="AC6" s="54">
        <v>46079</v>
      </c>
      <c r="AD6" s="55"/>
      <c r="AE6" s="55"/>
      <c r="AF6" s="55"/>
      <c r="AG6" s="55"/>
      <c r="AH6" s="55"/>
      <c r="AI6" s="55"/>
      <c r="AJ6" s="55"/>
      <c r="AK6" s="56"/>
      <c r="AY6" s="22" t="s">
        <v>15</v>
      </c>
      <c r="AZ6" s="51" t="s">
        <v>47</v>
      </c>
      <c r="BA6" s="52"/>
      <c r="BB6" s="52"/>
      <c r="BC6" s="52"/>
      <c r="BD6" s="52"/>
      <c r="BE6" s="52"/>
      <c r="BF6" s="52"/>
      <c r="BG6" s="52"/>
      <c r="BH6" s="53"/>
      <c r="BI6" s="31"/>
      <c r="BL6" s="23"/>
    </row>
    <row r="7" spans="1:64" ht="7.15" customHeight="1" thickBot="1" x14ac:dyDescent="0.35"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</row>
    <row r="8" spans="1:64" ht="11.25" customHeight="1" thickTop="1" x14ac:dyDescent="0.3"/>
    <row r="9" spans="1:64" ht="10.5" customHeight="1" x14ac:dyDescent="0.3"/>
    <row r="10" spans="1:64" x14ac:dyDescent="0.3">
      <c r="B10" s="32" t="s">
        <v>16</v>
      </c>
      <c r="N10" s="57" t="s">
        <v>17</v>
      </c>
      <c r="O10" s="57"/>
      <c r="P10" s="57"/>
      <c r="R10" s="19" t="s">
        <v>18</v>
      </c>
    </row>
    <row r="11" spans="1:64" s="24" customFormat="1" ht="4.9000000000000004" customHeight="1" x14ac:dyDescent="0.3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</row>
    <row r="12" spans="1:64" ht="10.5" customHeight="1" x14ac:dyDescent="0.3">
      <c r="N12" s="61" t="s">
        <v>56</v>
      </c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</row>
    <row r="13" spans="1:64" s="26" customFormat="1" ht="11.25" customHeight="1" x14ac:dyDescent="0.3">
      <c r="A13" s="25">
        <v>1</v>
      </c>
      <c r="B13" s="36" t="s">
        <v>57</v>
      </c>
      <c r="C13" s="37"/>
      <c r="D13" s="37"/>
      <c r="E13" s="37"/>
      <c r="F13" s="37"/>
      <c r="G13" s="37"/>
      <c r="H13" s="37"/>
      <c r="I13" s="37"/>
      <c r="J13" s="37"/>
      <c r="K13" s="37"/>
      <c r="L13" s="38"/>
      <c r="M13" s="27"/>
      <c r="N13" s="42" t="s">
        <v>19</v>
      </c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4"/>
    </row>
    <row r="14" spans="1:64" s="26" customFormat="1" ht="25" customHeight="1" x14ac:dyDescent="0.3">
      <c r="A14" s="25">
        <v>1</v>
      </c>
      <c r="B14" s="39"/>
      <c r="C14" s="40"/>
      <c r="D14" s="40"/>
      <c r="E14" s="40"/>
      <c r="F14" s="40"/>
      <c r="G14" s="40"/>
      <c r="H14" s="40"/>
      <c r="I14" s="40"/>
      <c r="J14" s="40"/>
      <c r="K14" s="40"/>
      <c r="L14" s="41"/>
      <c r="M14" s="27"/>
      <c r="N14" s="45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7"/>
    </row>
    <row r="15" spans="1:64" s="24" customFormat="1" ht="3.75" customHeight="1" x14ac:dyDescent="0.3"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</row>
    <row r="16" spans="1:64" s="26" customFormat="1" ht="11.25" customHeight="1" x14ac:dyDescent="0.3">
      <c r="A16" s="25">
        <v>1</v>
      </c>
      <c r="B16" s="36" t="s">
        <v>21</v>
      </c>
      <c r="C16" s="37"/>
      <c r="D16" s="37"/>
      <c r="E16" s="37"/>
      <c r="F16" s="37"/>
      <c r="G16" s="37"/>
      <c r="H16" s="37"/>
      <c r="I16" s="37"/>
      <c r="J16" s="37"/>
      <c r="K16" s="37"/>
      <c r="L16" s="38"/>
      <c r="M16" s="27"/>
      <c r="N16" s="42" t="s">
        <v>19</v>
      </c>
      <c r="O16" s="43"/>
      <c r="P16" s="44"/>
      <c r="Q16" s="29"/>
      <c r="R16" s="61" t="s">
        <v>32</v>
      </c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</row>
    <row r="17" spans="1:61" s="26" customFormat="1" ht="41.5" customHeight="1" x14ac:dyDescent="0.3">
      <c r="A17" s="25">
        <v>1</v>
      </c>
      <c r="B17" s="39"/>
      <c r="C17" s="40"/>
      <c r="D17" s="40"/>
      <c r="E17" s="40"/>
      <c r="F17" s="40"/>
      <c r="G17" s="40"/>
      <c r="H17" s="40"/>
      <c r="I17" s="40"/>
      <c r="J17" s="40"/>
      <c r="K17" s="40"/>
      <c r="L17" s="41"/>
      <c r="M17" s="27"/>
      <c r="N17" s="45"/>
      <c r="O17" s="46"/>
      <c r="P17" s="47"/>
      <c r="Q17" s="27"/>
      <c r="R17" s="58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60"/>
    </row>
    <row r="18" spans="1:61" s="24" customFormat="1" ht="4.9000000000000004" customHeight="1" x14ac:dyDescent="0.3">
      <c r="A18" s="28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</row>
    <row r="19" spans="1:61" s="26" customFormat="1" ht="11.25" customHeight="1" x14ac:dyDescent="0.3">
      <c r="A19" s="25">
        <v>1</v>
      </c>
      <c r="B19" s="36" t="s">
        <v>22</v>
      </c>
      <c r="C19" s="37"/>
      <c r="D19" s="37"/>
      <c r="E19" s="37"/>
      <c r="F19" s="37"/>
      <c r="G19" s="37"/>
      <c r="H19" s="37"/>
      <c r="I19" s="37"/>
      <c r="J19" s="37"/>
      <c r="K19" s="37"/>
      <c r="L19" s="38"/>
      <c r="M19" s="27"/>
      <c r="N19" s="62" t="s">
        <v>19</v>
      </c>
      <c r="O19" s="63"/>
      <c r="P19" s="64"/>
      <c r="Q19" s="29"/>
      <c r="R19" s="61" t="s">
        <v>35</v>
      </c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1"/>
      <c r="AS19" s="61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</row>
    <row r="20" spans="1:61" s="26" customFormat="1" ht="41.5" customHeight="1" x14ac:dyDescent="0.3">
      <c r="A20" s="25">
        <v>1</v>
      </c>
      <c r="B20" s="39"/>
      <c r="C20" s="40"/>
      <c r="D20" s="40"/>
      <c r="E20" s="40"/>
      <c r="F20" s="40"/>
      <c r="G20" s="40"/>
      <c r="H20" s="40"/>
      <c r="I20" s="40"/>
      <c r="J20" s="40"/>
      <c r="K20" s="40"/>
      <c r="L20" s="41"/>
      <c r="M20" s="27"/>
      <c r="N20" s="65"/>
      <c r="O20" s="66"/>
      <c r="P20" s="67"/>
      <c r="Q20" s="27"/>
      <c r="R20" s="58" t="s">
        <v>62</v>
      </c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60"/>
    </row>
    <row r="21" spans="1:61" s="24" customFormat="1" ht="4.9000000000000004" customHeight="1" x14ac:dyDescent="0.3">
      <c r="A21" s="28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</row>
    <row r="22" spans="1:61" s="26" customFormat="1" ht="11.25" customHeight="1" x14ac:dyDescent="0.3">
      <c r="A22" s="25">
        <v>1</v>
      </c>
      <c r="B22" s="36" t="s">
        <v>33</v>
      </c>
      <c r="C22" s="37"/>
      <c r="D22" s="37"/>
      <c r="E22" s="37"/>
      <c r="F22" s="37"/>
      <c r="G22" s="37"/>
      <c r="H22" s="37"/>
      <c r="I22" s="37"/>
      <c r="J22" s="37"/>
      <c r="K22" s="37"/>
      <c r="L22" s="38"/>
      <c r="M22" s="27"/>
      <c r="N22" s="42" t="s">
        <v>19</v>
      </c>
      <c r="O22" s="43"/>
      <c r="P22" s="44"/>
      <c r="Q22" s="29"/>
      <c r="R22" s="61" t="s">
        <v>34</v>
      </c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1"/>
      <c r="AS22" s="61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</row>
    <row r="23" spans="1:61" s="26" customFormat="1" ht="41.5" customHeight="1" x14ac:dyDescent="0.3">
      <c r="A23" s="25">
        <v>1</v>
      </c>
      <c r="B23" s="39"/>
      <c r="C23" s="40"/>
      <c r="D23" s="40"/>
      <c r="E23" s="40"/>
      <c r="F23" s="40"/>
      <c r="G23" s="40"/>
      <c r="H23" s="40"/>
      <c r="I23" s="40"/>
      <c r="J23" s="40"/>
      <c r="K23" s="40"/>
      <c r="L23" s="41"/>
      <c r="M23" s="27"/>
      <c r="N23" s="45"/>
      <c r="O23" s="46"/>
      <c r="P23" s="47"/>
      <c r="Q23" s="27"/>
      <c r="R23" s="58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60"/>
    </row>
    <row r="24" spans="1:61" s="24" customFormat="1" ht="4.9000000000000004" customHeight="1" x14ac:dyDescent="0.3">
      <c r="A24" s="28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</row>
    <row r="25" spans="1:61" s="26" customFormat="1" ht="11.25" customHeight="1" x14ac:dyDescent="0.3">
      <c r="A25" s="25">
        <v>1</v>
      </c>
      <c r="B25" s="36" t="s">
        <v>20</v>
      </c>
      <c r="C25" s="37"/>
      <c r="D25" s="37"/>
      <c r="E25" s="37"/>
      <c r="F25" s="37"/>
      <c r="G25" s="37"/>
      <c r="H25" s="37"/>
      <c r="I25" s="37"/>
      <c r="J25" s="37"/>
      <c r="K25" s="37"/>
      <c r="L25" s="38"/>
      <c r="M25" s="27"/>
      <c r="N25" s="42" t="s">
        <v>19</v>
      </c>
      <c r="O25" s="43"/>
      <c r="P25" s="44"/>
      <c r="Q25" s="29"/>
      <c r="R25" s="61" t="s">
        <v>58</v>
      </c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</row>
    <row r="26" spans="1:61" s="26" customFormat="1" ht="41.5" customHeight="1" x14ac:dyDescent="0.3">
      <c r="A26" s="25">
        <v>1</v>
      </c>
      <c r="B26" s="39"/>
      <c r="C26" s="40"/>
      <c r="D26" s="40"/>
      <c r="E26" s="40"/>
      <c r="F26" s="40"/>
      <c r="G26" s="40"/>
      <c r="H26" s="40"/>
      <c r="I26" s="40"/>
      <c r="J26" s="40"/>
      <c r="K26" s="40"/>
      <c r="L26" s="41"/>
      <c r="M26" s="27"/>
      <c r="N26" s="45"/>
      <c r="O26" s="46"/>
      <c r="P26" s="47"/>
      <c r="Q26" s="27"/>
      <c r="R26" s="58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60"/>
    </row>
    <row r="27" spans="1:61" s="24" customFormat="1" ht="4.9000000000000004" customHeight="1" x14ac:dyDescent="0.3">
      <c r="A27" s="28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</row>
    <row r="28" spans="1:61" s="26" customFormat="1" ht="11.25" customHeight="1" x14ac:dyDescent="0.3">
      <c r="A28" s="25">
        <v>1</v>
      </c>
      <c r="B28" s="36" t="s">
        <v>23</v>
      </c>
      <c r="C28" s="37"/>
      <c r="D28" s="37"/>
      <c r="E28" s="37"/>
      <c r="F28" s="37"/>
      <c r="G28" s="37"/>
      <c r="H28" s="37"/>
      <c r="I28" s="37"/>
      <c r="J28" s="37"/>
      <c r="K28" s="37"/>
      <c r="L28" s="38"/>
      <c r="M28" s="27"/>
      <c r="N28" s="42" t="s">
        <v>19</v>
      </c>
      <c r="O28" s="43"/>
      <c r="P28" s="44"/>
      <c r="Q28" s="29"/>
      <c r="R28" s="61" t="s">
        <v>59</v>
      </c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</row>
    <row r="29" spans="1:61" s="26" customFormat="1" ht="41.5" customHeight="1" x14ac:dyDescent="0.3">
      <c r="A29" s="25">
        <v>1</v>
      </c>
      <c r="B29" s="39"/>
      <c r="C29" s="40"/>
      <c r="D29" s="40"/>
      <c r="E29" s="40"/>
      <c r="F29" s="40"/>
      <c r="G29" s="40"/>
      <c r="H29" s="40"/>
      <c r="I29" s="40"/>
      <c r="J29" s="40"/>
      <c r="K29" s="40"/>
      <c r="L29" s="41"/>
      <c r="M29" s="27"/>
      <c r="N29" s="45"/>
      <c r="O29" s="46"/>
      <c r="P29" s="47"/>
      <c r="Q29" s="27"/>
      <c r="R29" s="58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60"/>
    </row>
    <row r="30" spans="1:61" s="24" customFormat="1" ht="4.9000000000000004" customHeight="1" x14ac:dyDescent="0.3">
      <c r="A30" s="28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</row>
    <row r="31" spans="1:61" s="26" customFormat="1" ht="11.25" customHeight="1" x14ac:dyDescent="0.3">
      <c r="A31" s="25">
        <v>1</v>
      </c>
      <c r="B31" s="36" t="s">
        <v>44</v>
      </c>
      <c r="C31" s="37"/>
      <c r="D31" s="37"/>
      <c r="E31" s="37"/>
      <c r="F31" s="37"/>
      <c r="G31" s="37"/>
      <c r="H31" s="37"/>
      <c r="I31" s="37"/>
      <c r="J31" s="37"/>
      <c r="K31" s="37"/>
      <c r="L31" s="38"/>
      <c r="M31" s="27"/>
      <c r="N31" s="42" t="s">
        <v>19</v>
      </c>
      <c r="O31" s="43"/>
      <c r="P31" s="44"/>
      <c r="Q31" s="29"/>
      <c r="R31" s="48" t="s">
        <v>37</v>
      </c>
      <c r="S31" s="48"/>
      <c r="T31" s="48"/>
      <c r="U31" s="48"/>
      <c r="V31" s="48"/>
      <c r="W31" s="48"/>
      <c r="X31" s="48"/>
      <c r="Y31" s="48"/>
      <c r="Z31" s="48"/>
      <c r="AA31" s="48" t="s">
        <v>38</v>
      </c>
      <c r="AB31" s="48"/>
      <c r="AC31" s="48"/>
      <c r="AD31" s="48"/>
      <c r="AE31" s="48"/>
      <c r="AF31" s="48"/>
      <c r="AG31" s="48"/>
      <c r="AH31" s="48"/>
      <c r="AI31" s="48"/>
      <c r="AJ31" s="48" t="s">
        <v>36</v>
      </c>
      <c r="AK31" s="48"/>
      <c r="AL31" s="48"/>
      <c r="AM31" s="48"/>
      <c r="AN31" s="48"/>
      <c r="AO31" s="48"/>
      <c r="AP31" s="48"/>
      <c r="AQ31" s="48"/>
      <c r="AR31" s="48"/>
      <c r="AS31" s="48" t="s">
        <v>39</v>
      </c>
      <c r="AT31" s="48"/>
      <c r="AU31" s="48"/>
      <c r="AV31" s="48"/>
      <c r="AW31" s="48"/>
      <c r="AX31" s="48"/>
      <c r="AY31" s="48"/>
      <c r="AZ31" s="48"/>
      <c r="BA31" s="48"/>
      <c r="BB31" s="48" t="s">
        <v>40</v>
      </c>
      <c r="BC31" s="48"/>
      <c r="BD31" s="48"/>
      <c r="BE31" s="48"/>
      <c r="BF31" s="48"/>
      <c r="BG31" s="48"/>
      <c r="BH31" s="48"/>
      <c r="BI31" s="48"/>
    </row>
    <row r="32" spans="1:61" s="26" customFormat="1" ht="41.5" customHeight="1" x14ac:dyDescent="0.3">
      <c r="A32" s="25"/>
      <c r="B32" s="39"/>
      <c r="C32" s="40"/>
      <c r="D32" s="40"/>
      <c r="E32" s="40"/>
      <c r="F32" s="40"/>
      <c r="G32" s="40"/>
      <c r="H32" s="40"/>
      <c r="I32" s="40"/>
      <c r="J32" s="40"/>
      <c r="K32" s="40"/>
      <c r="L32" s="41"/>
      <c r="M32" s="27"/>
      <c r="N32" s="45"/>
      <c r="O32" s="46"/>
      <c r="P32" s="47"/>
      <c r="Q32" s="27"/>
      <c r="R32" s="49">
        <v>13</v>
      </c>
      <c r="S32" s="50"/>
      <c r="T32" s="50"/>
      <c r="U32" s="50"/>
      <c r="V32" s="50"/>
      <c r="W32" s="50"/>
      <c r="X32" s="50"/>
      <c r="Y32" s="50"/>
      <c r="Z32" s="50"/>
      <c r="AA32" s="49">
        <v>23</v>
      </c>
      <c r="AB32" s="50"/>
      <c r="AC32" s="50"/>
      <c r="AD32" s="50"/>
      <c r="AE32" s="50"/>
      <c r="AF32" s="50"/>
      <c r="AG32" s="50"/>
      <c r="AH32" s="50"/>
      <c r="AI32" s="50"/>
      <c r="AJ32" s="49">
        <v>30</v>
      </c>
      <c r="AK32" s="50"/>
      <c r="AL32" s="50"/>
      <c r="AM32" s="50"/>
      <c r="AN32" s="50"/>
      <c r="AO32" s="50"/>
      <c r="AP32" s="50"/>
      <c r="AQ32" s="50"/>
      <c r="AR32" s="50"/>
      <c r="AS32" s="49">
        <v>4</v>
      </c>
      <c r="AT32" s="50"/>
      <c r="AU32" s="50"/>
      <c r="AV32" s="50"/>
      <c r="AW32" s="50"/>
      <c r="AX32" s="50"/>
      <c r="AY32" s="50"/>
      <c r="AZ32" s="50"/>
      <c r="BA32" s="50"/>
      <c r="BB32" s="34">
        <f>SUM(R32:BA32)</f>
        <v>70</v>
      </c>
      <c r="BC32" s="34"/>
      <c r="BD32" s="34"/>
      <c r="BE32" s="34"/>
      <c r="BF32" s="34"/>
      <c r="BG32" s="34"/>
      <c r="BH32" s="34"/>
      <c r="BI32" s="35"/>
    </row>
    <row r="33" spans="1:61" s="24" customFormat="1" ht="4.9000000000000004" customHeight="1" x14ac:dyDescent="0.3">
      <c r="A33" s="28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19"/>
      <c r="N33" s="19"/>
      <c r="O33" s="19"/>
      <c r="P33" s="19"/>
      <c r="Q33" s="19"/>
      <c r="R33" s="19">
        <v>35</v>
      </c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</row>
    <row r="34" spans="1:61" s="24" customFormat="1" ht="5.25" customHeight="1" x14ac:dyDescent="0.3"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</row>
    <row r="35" spans="1:61" x14ac:dyDescent="0.3">
      <c r="N35" s="33" t="s">
        <v>24</v>
      </c>
    </row>
    <row r="36" spans="1:61" x14ac:dyDescent="0.3">
      <c r="N36" s="33" t="s">
        <v>25</v>
      </c>
    </row>
    <row r="37" spans="1:61" x14ac:dyDescent="0.3">
      <c r="N37" s="33" t="s">
        <v>26</v>
      </c>
    </row>
  </sheetData>
  <sheetProtection selectLockedCells="1"/>
  <autoFilter ref="N19:P20" xr:uid="{00000000-0009-0000-0000-000002000000}">
    <filterColumn colId="0" showButton="0"/>
    <filterColumn colId="1" showButton="0"/>
  </autoFilter>
  <mergeCells count="39">
    <mergeCell ref="B28:L29"/>
    <mergeCell ref="N28:P29"/>
    <mergeCell ref="R28:BI28"/>
    <mergeCell ref="R29:BI29"/>
    <mergeCell ref="N12:BE12"/>
    <mergeCell ref="B13:L14"/>
    <mergeCell ref="N13:BI14"/>
    <mergeCell ref="B25:L26"/>
    <mergeCell ref="N25:P26"/>
    <mergeCell ref="R25:BI25"/>
    <mergeCell ref="R26:BI26"/>
    <mergeCell ref="F6:N6"/>
    <mergeCell ref="AC6:AK6"/>
    <mergeCell ref="AZ6:BH6"/>
    <mergeCell ref="N10:P10"/>
    <mergeCell ref="B22:L23"/>
    <mergeCell ref="N22:P23"/>
    <mergeCell ref="R23:BI23"/>
    <mergeCell ref="R22:BI22"/>
    <mergeCell ref="R16:BI16"/>
    <mergeCell ref="R17:BI17"/>
    <mergeCell ref="B16:L17"/>
    <mergeCell ref="N16:P17"/>
    <mergeCell ref="B19:L20"/>
    <mergeCell ref="N19:P20"/>
    <mergeCell ref="R19:BI19"/>
    <mergeCell ref="R20:BI20"/>
    <mergeCell ref="BB32:BI32"/>
    <mergeCell ref="B31:L32"/>
    <mergeCell ref="N31:P32"/>
    <mergeCell ref="AS31:BA31"/>
    <mergeCell ref="AS32:BA32"/>
    <mergeCell ref="R32:Z32"/>
    <mergeCell ref="AA32:AI32"/>
    <mergeCell ref="AJ32:AR32"/>
    <mergeCell ref="BB31:BI31"/>
    <mergeCell ref="R31:Z31"/>
    <mergeCell ref="AA31:AI31"/>
    <mergeCell ref="AJ31:AR31"/>
  </mergeCells>
  <conditionalFormatting sqref="AZ6">
    <cfRule type="cellIs" dxfId="35" priority="79" operator="equal">
      <formula>""</formula>
    </cfRule>
  </conditionalFormatting>
  <conditionalFormatting sqref="F6">
    <cfRule type="cellIs" dxfId="34" priority="76" operator="equal">
      <formula>""</formula>
    </cfRule>
  </conditionalFormatting>
  <conditionalFormatting sqref="AC6">
    <cfRule type="cellIs" dxfId="33" priority="75" operator="equal">
      <formula>""</formula>
    </cfRule>
  </conditionalFormatting>
  <conditionalFormatting sqref="BE18">
    <cfRule type="cellIs" dxfId="32" priority="66" operator="equal">
      <formula>"verworfen"</formula>
    </cfRule>
    <cfRule type="cellIs" dxfId="31" priority="67" operator="equal">
      <formula>"ausgewählt"</formula>
    </cfRule>
  </conditionalFormatting>
  <conditionalFormatting sqref="N16">
    <cfRule type="cellIs" dxfId="30" priority="63" operator="equal">
      <formula>"grün"</formula>
    </cfRule>
    <cfRule type="cellIs" dxfId="29" priority="64" operator="equal">
      <formula>"rot"</formula>
    </cfRule>
    <cfRule type="cellIs" dxfId="28" priority="65" operator="equal">
      <formula>"gelb"</formula>
    </cfRule>
  </conditionalFormatting>
  <conditionalFormatting sqref="BE21">
    <cfRule type="cellIs" dxfId="27" priority="53" operator="equal">
      <formula>"verworfen"</formula>
    </cfRule>
    <cfRule type="cellIs" dxfId="26" priority="54" operator="equal">
      <formula>"ausgewählt"</formula>
    </cfRule>
  </conditionalFormatting>
  <conditionalFormatting sqref="N19">
    <cfRule type="cellIs" dxfId="25" priority="50" operator="equal">
      <formula>"grün"</formula>
    </cfRule>
    <cfRule type="cellIs" dxfId="24" priority="51" operator="equal">
      <formula>"rot"</formula>
    </cfRule>
    <cfRule type="cellIs" dxfId="23" priority="52" operator="equal">
      <formula>"gelb"</formula>
    </cfRule>
  </conditionalFormatting>
  <conditionalFormatting sqref="BE24">
    <cfRule type="cellIs" dxfId="22" priority="48" operator="equal">
      <formula>"verworfen"</formula>
    </cfRule>
    <cfRule type="cellIs" dxfId="21" priority="49" operator="equal">
      <formula>"ausgewählt"</formula>
    </cfRule>
  </conditionalFormatting>
  <conditionalFormatting sqref="N22">
    <cfRule type="cellIs" dxfId="20" priority="45" operator="equal">
      <formula>"grün"</formula>
    </cfRule>
    <cfRule type="cellIs" dxfId="19" priority="46" operator="equal">
      <formula>"rot"</formula>
    </cfRule>
    <cfRule type="cellIs" dxfId="18" priority="47" operator="equal">
      <formula>"gelb"</formula>
    </cfRule>
  </conditionalFormatting>
  <conditionalFormatting sqref="BE27">
    <cfRule type="cellIs" dxfId="17" priority="43" operator="equal">
      <formula>"verworfen"</formula>
    </cfRule>
    <cfRule type="cellIs" dxfId="16" priority="44" operator="equal">
      <formula>"ausgewählt"</formula>
    </cfRule>
  </conditionalFormatting>
  <conditionalFormatting sqref="N25">
    <cfRule type="cellIs" dxfId="15" priority="40" operator="equal">
      <formula>"grün"</formula>
    </cfRule>
    <cfRule type="cellIs" dxfId="14" priority="41" operator="equal">
      <formula>"rot"</formula>
    </cfRule>
    <cfRule type="cellIs" dxfId="13" priority="42" operator="equal">
      <formula>"gelb"</formula>
    </cfRule>
  </conditionalFormatting>
  <conditionalFormatting sqref="BE30">
    <cfRule type="cellIs" dxfId="12" priority="33" operator="equal">
      <formula>"verworfen"</formula>
    </cfRule>
    <cfRule type="cellIs" dxfId="11" priority="34" operator="equal">
      <formula>"ausgewählt"</formula>
    </cfRule>
  </conditionalFormatting>
  <conditionalFormatting sqref="N28">
    <cfRule type="cellIs" dxfId="10" priority="30" operator="equal">
      <formula>"grün"</formula>
    </cfRule>
    <cfRule type="cellIs" dxfId="9" priority="31" operator="equal">
      <formula>"rot"</formula>
    </cfRule>
    <cfRule type="cellIs" dxfId="8" priority="32" operator="equal">
      <formula>"gelb"</formula>
    </cfRule>
  </conditionalFormatting>
  <conditionalFormatting sqref="BE33">
    <cfRule type="cellIs" dxfId="7" priority="28" operator="equal">
      <formula>"verworfen"</formula>
    </cfRule>
    <cfRule type="cellIs" dxfId="6" priority="29" operator="equal">
      <formula>"ausgewählt"</formula>
    </cfRule>
  </conditionalFormatting>
  <conditionalFormatting sqref="N31">
    <cfRule type="cellIs" dxfId="5" priority="25" operator="equal">
      <formula>"grün"</formula>
    </cfRule>
    <cfRule type="cellIs" dxfId="4" priority="26" operator="equal">
      <formula>"rot"</formula>
    </cfRule>
    <cfRule type="cellIs" dxfId="3" priority="27" operator="equal">
      <formula>"gelb"</formula>
    </cfRule>
  </conditionalFormatting>
  <conditionalFormatting sqref="N13">
    <cfRule type="cellIs" dxfId="2" priority="1" operator="equal">
      <formula>"grün"</formula>
    </cfRule>
    <cfRule type="cellIs" dxfId="1" priority="2" operator="equal">
      <formula>"rot"</formula>
    </cfRule>
    <cfRule type="cellIs" dxfId="0" priority="3" operator="equal">
      <formula>"gelb"</formula>
    </cfRule>
  </conditionalFormatting>
  <dataValidations count="2">
    <dataValidation type="list" allowBlank="1" showInputMessage="1" showErrorMessage="1" sqref="N16 N19 N22 N25 N28 N31 N13" xr:uid="{00000000-0002-0000-0200-000000000000}">
      <formula1>"rot,gelb,grün"</formula1>
    </dataValidation>
    <dataValidation type="date" allowBlank="1" showInputMessage="1" showErrorMessage="1" sqref="AC6" xr:uid="{00000000-0002-0000-0200-000001000000}">
      <formula1>43831</formula1>
      <formula2>73415</formula2>
    </dataValidation>
  </dataValidations>
  <pageMargins left="0.70866141732283472" right="0.70866141732283472" top="0.74803149606299213" bottom="0.74803149606299213" header="0.31496062992125984" footer="0.31496062992125984"/>
  <pageSetup paperSize="9" scale="74" orientation="landscape" r:id="rId1"/>
  <headerFooter alignWithMargins="0">
    <oddHeader>&amp;L&amp;F&amp;R&amp;A</oddHeader>
    <oddFooter>&amp;L&amp;D&amp;CSeite &amp;P / &amp;N&amp;R© Visality Consulting GmbH</oddFooter>
  </headerFooter>
  <drawing r:id="rId2"/>
  <legacyDrawing r:id="rId3"/>
  <controls>
    <mc:AlternateContent xmlns:mc="http://schemas.openxmlformats.org/markup-compatibility/2006">
      <mc:Choice Requires="x14">
        <control shapeId="3080" r:id="rId4" name="Abschicken">
          <controlPr defaultSize="0" autoLine="0" r:id="rId5">
            <anchor moveWithCells="1">
              <from>
                <xdr:col>38</xdr:col>
                <xdr:colOff>171450</xdr:colOff>
                <xdr:row>35</xdr:row>
                <xdr:rowOff>0</xdr:rowOff>
              </from>
              <to>
                <xdr:col>46</xdr:col>
                <xdr:colOff>152400</xdr:colOff>
                <xdr:row>38</xdr:row>
                <xdr:rowOff>50800</xdr:rowOff>
              </to>
            </anchor>
          </controlPr>
        </control>
      </mc:Choice>
      <mc:Fallback>
        <control shapeId="3080" r:id="rId4" name="Abschicke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2000000}">
          <x14:formula1>
            <xm:f>'Dropdown-Listen'!$B$3:$B$19</xm:f>
          </x14:formula1>
          <xm:sqref>F6</xm:sqref>
        </x14:dataValidation>
        <x14:dataValidation type="list" allowBlank="1" showInputMessage="1" showErrorMessage="1" xr:uid="{00000000-0002-0000-0200-000003000000}">
          <x14:formula1>
            <xm:f>'Dropdown-Listen'!$D$3:$D$19</xm:f>
          </x14:formula1>
          <xm:sqref>AZ6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>
    <tabColor theme="0" tint="-0.34998626667073579"/>
  </sheetPr>
  <dimension ref="B2:D19"/>
  <sheetViews>
    <sheetView showGridLines="0" zoomScaleNormal="100" workbookViewId="0">
      <selection activeCell="B24" sqref="B24"/>
    </sheetView>
  </sheetViews>
  <sheetFormatPr baseColWidth="10" defaultColWidth="11.453125" defaultRowHeight="14.5" x14ac:dyDescent="0.35"/>
  <cols>
    <col min="2" max="2" width="21.26953125" customWidth="1"/>
    <col min="4" max="4" width="21.26953125" customWidth="1"/>
  </cols>
  <sheetData>
    <row r="2" spans="2:4" x14ac:dyDescent="0.35">
      <c r="B2" s="16" t="s">
        <v>2</v>
      </c>
      <c r="D2" s="16" t="s">
        <v>27</v>
      </c>
    </row>
    <row r="3" spans="2:4" x14ac:dyDescent="0.35">
      <c r="B3" s="17"/>
      <c r="D3" s="17"/>
    </row>
    <row r="4" spans="2:4" x14ac:dyDescent="0.35">
      <c r="B4" s="15" t="s">
        <v>28</v>
      </c>
      <c r="D4" s="15" t="s">
        <v>29</v>
      </c>
    </row>
    <row r="5" spans="2:4" x14ac:dyDescent="0.35">
      <c r="B5" s="15" t="s">
        <v>45</v>
      </c>
      <c r="D5" s="15" t="s">
        <v>30</v>
      </c>
    </row>
    <row r="6" spans="2:4" x14ac:dyDescent="0.35">
      <c r="B6" s="15" t="s">
        <v>46</v>
      </c>
      <c r="D6" s="15" t="s">
        <v>31</v>
      </c>
    </row>
    <row r="7" spans="2:4" x14ac:dyDescent="0.35">
      <c r="B7" s="15" t="s">
        <v>48</v>
      </c>
      <c r="D7" s="15" t="s">
        <v>47</v>
      </c>
    </row>
    <row r="8" spans="2:4" x14ac:dyDescent="0.35">
      <c r="B8" s="15" t="s">
        <v>49</v>
      </c>
      <c r="D8" s="15"/>
    </row>
    <row r="9" spans="2:4" x14ac:dyDescent="0.35">
      <c r="B9" s="15"/>
      <c r="D9" s="15"/>
    </row>
    <row r="10" spans="2:4" x14ac:dyDescent="0.35">
      <c r="B10" s="15" t="s">
        <v>50</v>
      </c>
      <c r="D10" s="15"/>
    </row>
    <row r="11" spans="2:4" x14ac:dyDescent="0.35">
      <c r="B11" s="15" t="s">
        <v>51</v>
      </c>
      <c r="D11" s="15"/>
    </row>
    <row r="12" spans="2:4" x14ac:dyDescent="0.35">
      <c r="B12" s="15" t="s">
        <v>52</v>
      </c>
      <c r="D12" s="15"/>
    </row>
    <row r="13" spans="2:4" x14ac:dyDescent="0.35">
      <c r="B13" s="15" t="s">
        <v>53</v>
      </c>
      <c r="D13" s="15"/>
    </row>
    <row r="14" spans="2:4" x14ac:dyDescent="0.35">
      <c r="B14" s="15" t="s">
        <v>54</v>
      </c>
      <c r="D14" s="15"/>
    </row>
    <row r="15" spans="2:4" x14ac:dyDescent="0.35">
      <c r="B15" s="15" t="s">
        <v>55</v>
      </c>
      <c r="D15" s="15"/>
    </row>
    <row r="16" spans="2:4" x14ac:dyDescent="0.35">
      <c r="B16" s="15" t="s">
        <v>60</v>
      </c>
      <c r="D16" s="15"/>
    </row>
    <row r="17" spans="2:4" x14ac:dyDescent="0.35">
      <c r="B17" s="15"/>
      <c r="D17" s="15"/>
    </row>
    <row r="18" spans="2:4" x14ac:dyDescent="0.35">
      <c r="B18" s="15" t="s">
        <v>61</v>
      </c>
      <c r="D18" s="15"/>
    </row>
    <row r="19" spans="2:4" x14ac:dyDescent="0.35">
      <c r="B19" s="15"/>
      <c r="D19" s="15"/>
    </row>
  </sheetData>
  <sheetProtection selectLockedCells="1"/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/>
  <dimension ref="A1:B7"/>
  <sheetViews>
    <sheetView workbookViewId="0">
      <selection activeCell="A5" sqref="A5"/>
    </sheetView>
  </sheetViews>
  <sheetFormatPr baseColWidth="10" defaultColWidth="11.453125" defaultRowHeight="14.5" x14ac:dyDescent="0.35"/>
  <cols>
    <col min="1" max="1" width="19.1796875" customWidth="1"/>
    <col min="2" max="2" width="45.7265625" customWidth="1"/>
  </cols>
  <sheetData>
    <row r="1" spans="1:2" x14ac:dyDescent="0.35">
      <c r="A1" s="6" t="s">
        <v>8</v>
      </c>
      <c r="B1" s="6" t="s">
        <v>9</v>
      </c>
    </row>
    <row r="2" spans="1:2" x14ac:dyDescent="0.35">
      <c r="A2" s="5" t="e">
        <f>#REF!</f>
        <v>#REF!</v>
      </c>
      <c r="B2" s="5" t="e">
        <f>#REF!</f>
        <v>#REF!</v>
      </c>
    </row>
    <row r="3" spans="1:2" x14ac:dyDescent="0.35">
      <c r="A3" s="5" t="e">
        <f>#REF!</f>
        <v>#REF!</v>
      </c>
      <c r="B3" s="5" t="e">
        <f>#REF!</f>
        <v>#REF!</v>
      </c>
    </row>
    <row r="4" spans="1:2" x14ac:dyDescent="0.35">
      <c r="A4" s="5" t="e">
        <f>#REF!</f>
        <v>#REF!</v>
      </c>
      <c r="B4" s="5" t="e">
        <f>#REF!</f>
        <v>#REF!</v>
      </c>
    </row>
    <row r="5" spans="1:2" x14ac:dyDescent="0.35">
      <c r="A5" s="5" t="e">
        <f>#REF!</f>
        <v>#REF!</v>
      </c>
      <c r="B5" s="5" t="e">
        <f>#REF!</f>
        <v>#REF!</v>
      </c>
    </row>
    <row r="6" spans="1:2" x14ac:dyDescent="0.35">
      <c r="A6" s="5" t="e">
        <f>#REF!</f>
        <v>#REF!</v>
      </c>
      <c r="B6" s="5" t="e">
        <f>#REF!</f>
        <v>#REF!</v>
      </c>
    </row>
    <row r="7" spans="1:2" x14ac:dyDescent="0.35">
      <c r="A7" s="5" t="e">
        <f>#REF!</f>
        <v>#REF!</v>
      </c>
      <c r="B7" s="5" t="e">
        <f>#REF!</f>
        <v>#REF!</v>
      </c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</vt:i4>
      </vt:variant>
    </vt:vector>
  </HeadingPairs>
  <TitlesOfParts>
    <vt:vector size="6" baseType="lpstr">
      <vt:lpstr>Reaktionsmuster_Sicherung</vt:lpstr>
      <vt:lpstr>Irreg_Sicherung</vt:lpstr>
      <vt:lpstr>Lagebericht-Dokumentation</vt:lpstr>
      <vt:lpstr>Dropdown-Listen</vt:lpstr>
      <vt:lpstr>Hilfstabelle</vt:lpstr>
      <vt:lpstr>'Lagebericht-Dokumentation'!Druckbereich</vt:lpstr>
    </vt:vector>
  </TitlesOfParts>
  <Manager/>
  <Company>Eurowings AG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Lagebericht</dc:title>
  <dc:subject/>
  <dc:creator>AOCC</dc:creator>
  <cp:keywords/>
  <dc:description/>
  <cp:lastModifiedBy>Flughafen - DRK Köln e.V.</cp:lastModifiedBy>
  <cp:revision/>
  <cp:lastPrinted>2023-11-26T06:49:54Z</cp:lastPrinted>
  <dcterms:created xsi:type="dcterms:W3CDTF">2016-03-03T13:26:58Z</dcterms:created>
  <dcterms:modified xsi:type="dcterms:W3CDTF">2026-02-26T02:24:24Z</dcterms:modified>
  <cp:category>AOCC</cp:category>
  <cp:contentStatus/>
</cp:coreProperties>
</file>